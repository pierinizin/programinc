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letim" sheetId="1" state="visible" r:id="rId3"/>
    <sheet name="Dados" sheetId="2" state="visible" r:id="rId4"/>
  </sheets>
  <definedNames>
    <definedName function="false" hidden="true" localSheetId="1" name="_xlnm._FilterDatabase" vbProcedure="false">Dados!$A$1:$T$2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<sst xmlns="http://schemas.openxmlformats.org/spreadsheetml/2006/main" count="87" uniqueCount="73">
  <si>
    <t xml:space="preserve">BOLETIM DE APONTAMENTOS</t>
  </si>
  <si>
    <t xml:space="preserve">1 apontamento(s) · origem: a0ca4a16-Apontamentos_8.xlsx · emitido em 26/08/2026 13:33</t>
  </si>
  <si>
    <t xml:space="preserve">INCM-SIH-2026.00044</t>
  </si>
  <si>
    <t xml:space="preserve">Sinalização Horizontal   |   14/08/2026   |   Executado</t>
  </si>
  <si>
    <t xml:space="preserve">IDENTIFICAÇÃO</t>
  </si>
  <si>
    <t xml:space="preserve">CLIENTE</t>
  </si>
  <si>
    <t xml:space="preserve">MOTIVA</t>
  </si>
  <si>
    <t xml:space="preserve">CONTRATO</t>
  </si>
  <si>
    <t xml:space="preserve">LOCAL DE OBRA</t>
  </si>
  <si>
    <t xml:space="preserve">PR - 445</t>
  </si>
  <si>
    <t xml:space="preserve">KM DO SERVIÇO</t>
  </si>
  <si>
    <t xml:space="preserve">64+800</t>
  </si>
  <si>
    <t xml:space="preserve">ENCARREGADO</t>
  </si>
  <si>
    <t xml:space="preserve">Vanderlei</t>
  </si>
  <si>
    <t xml:space="preserve">EQUIPE</t>
  </si>
  <si>
    <t xml:space="preserve">Fiscal de campo</t>
  </si>
  <si>
    <t xml:space="preserve">EXECUTADO EM</t>
  </si>
  <si>
    <t xml:space="preserve">14/08/2026 10:50</t>
  </si>
  <si>
    <t xml:space="preserve">ENCONTRADO EM</t>
  </si>
  <si>
    <t xml:space="preserve">13/08/2026 10:50</t>
  </si>
  <si>
    <t xml:space="preserve">CRIADO POR</t>
  </si>
  <si>
    <t xml:space="preserve">Gabriel Santos · 14/08/2026 15:48</t>
  </si>
  <si>
    <t xml:space="preserve">ENGENHEIRO RESPONSÁVEL</t>
  </si>
  <si>
    <t xml:space="preserve">—</t>
  </si>
  <si>
    <t xml:space="preserve">FECHAMENTO DE PISTA</t>
  </si>
  <si>
    <t xml:space="preserve">LIBERAÇÃO DE PISTA</t>
  </si>
  <si>
    <t xml:space="preserve">SERVIÇO</t>
  </si>
  <si>
    <t xml:space="preserve">ITEM DE SERVIÇO</t>
  </si>
  <si>
    <t xml:space="preserve">Ensaio Retrô. - Fotoluminescente</t>
  </si>
  <si>
    <t xml:space="preserve">TIPO DE SERVIÇO</t>
  </si>
  <si>
    <t xml:space="preserve">Manutenção</t>
  </si>
  <si>
    <t xml:space="preserve">SENTIDO DE SERVIÇO</t>
  </si>
  <si>
    <t xml:space="preserve">Decrescente</t>
  </si>
  <si>
    <t xml:space="preserve">LEITURAS (10)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</si>
  <si>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</si>
  <si>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</si>
  <si>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</si>
  <si>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</si>
  <si>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</si>
  <si>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</si>
  <si>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</si>
  <si>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</si>
  <si>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</si>
  <si>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</si>
  <si>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MÉDIA</t>
  </si>
  <si>
    <t xml:space="preserve">OBSERVAÇÕES</t>
  </si>
  <si>
    <t xml:space="preserve">B.D</t>
  </si>
  <si>
    <t xml:space="preserve">0 foto(s) anexada(s) no apontamento</t>
  </si>
  <si>
    <t xml:space="preserve">Serial</t>
  </si>
  <si>
    <t xml:space="preserve">Natureza</t>
  </si>
  <si>
    <t xml:space="preserve">Status</t>
  </si>
  <si>
    <t xml:space="preserve">Data de execução</t>
  </si>
  <si>
    <t xml:space="preserve">Hora</t>
  </si>
  <si>
    <t xml:space="preserve">Cliente</t>
  </si>
  <si>
    <t xml:space="preserve">Contrato</t>
  </si>
  <si>
    <t xml:space="preserve">Local de Obra</t>
  </si>
  <si>
    <t xml:space="preserve">Encarregado</t>
  </si>
  <si>
    <t xml:space="preserve">Equipe</t>
  </si>
  <si>
    <t xml:space="preserve">Engenheiro responsável</t>
  </si>
  <si>
    <t xml:space="preserve">Criado por</t>
  </si>
  <si>
    <t xml:space="preserve">Km do serviço</t>
  </si>
  <si>
    <t xml:space="preserve">Item de Serviço</t>
  </si>
  <si>
    <t xml:space="preserve">Tipo de Serviço - Lev. de Retrorrefletância</t>
  </si>
  <si>
    <t xml:space="preserve">Sentido de Serviço</t>
  </si>
  <si>
    <t xml:space="preserve">Média de Leituras</t>
  </si>
  <si>
    <t xml:space="preserve">Observações</t>
  </si>
  <si>
    <t xml:space="preserve">Leituras</t>
  </si>
  <si>
    <t xml:space="preserve">Fotos</t>
  </si>
  <si>
    <t xml:space="preserve">Sinalização Horizontal</t>
  </si>
  <si>
    <t xml:space="preserve">Executado</t>
  </si>
  <si>
    <t xml:space="preserve">14/08/2026</t>
  </si>
  <si>
    <t xml:space="preserve">10:50</t>
  </si>
  <si>
    <t xml:space="preserve">Gabriel Santos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</si>
</sst>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.0"/>
    <numFmt numFmtId="167" formatCode="#,##0.0"/>
    <numFmt numFmtId="168" formatCode="#,##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sz val="8.5"/>
      <color rgb="FF3F4A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D9DEE4"/>
      <name val="Arial"/>
      <family val="0"/>
      <charset val="1"/>
    </font>
    <font>
      <b val="true"/>
      <sz val="8"/>
      <color rgb="FF1B2027"/>
      <name val="Arial"/>
      <family val="0"/>
      <charset val="1"/>
    </font>
    <font>
      <b val="true"/>
      <sz val="7.5"/>
      <color rgb="FF6B7784"/>
      <name val="Arial"/>
      <family val="0"/>
      <charset val="1"/>
    </font>
    <font>
      <sz val="9.5"/>
      <color rgb="FF1B2027"/>
      <name val="Arial"/>
      <family val="0"/>
      <charset val="1"/>
    </font>
    <font>
      <b val="true"/>
      <sz val="8"/>
      <color rgb="FF6B7784"/>
      <name val="Arial"/>
      <family val="0"/>
      <charset val="1"/>
    </font>
    <font>
      <sz val="10"/>
      <color rgb="FF1B2027"/>
      <name val="Arial"/>
      <family val="0"/>
      <charset val="1"/>
    </font>
    <font>
      <b val="true"/>
      <sz val="10"/>
      <color rgb="FF1B2027"/>
      <name val="Arial"/>
      <family val="0"/>
      <charset val="1"/>
    </font>
    <font>
      <sz val="8.5"/>
      <color rgb="FF6B7784"/>
      <name val="Arial"/>
      <family val="0"/>
      <charset val="1"/>
    </font>
    <font>
      <i val="true"/>
      <sz val="8"/>
      <color rgb="FF6B7784"/>
      <name val="Arial"/>
      <family val="0"/>
      <charset val="1"/>
    </font>
    <font>
      <b val="true"/>
      <sz val="8.5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B2027"/>
        <bgColor rgb="FF333300"/>
      </patternFill>
    </fill>
    <fill>
      <patternFill patternType="solid">
        <fgColor rgb="FFFFC72C"/>
        <bgColor rgb="FFFFCC99"/>
      </patternFill>
    </fill>
    <fill>
      <patternFill patternType="solid">
        <fgColor rgb="FFF6F7F8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7DCE1"/>
      </bottom>
      <diagonal/>
    </border>
    <border diagonalUp="false" diagonalDown="false">
      <left style="thin">
        <color rgb="FFD7DCE1"/>
      </left>
      <right style="thin">
        <color rgb="FFD7DCE1"/>
      </right>
      <top style="thin">
        <color rgb="FFD7DCE1"/>
      </top>
      <bottom style="thin">
        <color rgb="FFD7DC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7" fillId="2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8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9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6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B20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6B7784"/>
      <rgbColor rgb="FF9999FF"/>
      <rgbColor rgb="FF993366"/>
      <rgbColor rgb="FFF6F7F8"/>
      <rgbColor rgb="FFCCFFFF"/>
      <rgbColor rgb="FF660066"/>
      <rgbColor rgb="FFFF8080"/>
      <rgbColor rgb="FF0066CC"/>
      <rgbColor rgb="FFD7DC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EE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72C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F4A55"/>
      <rgbColor rgb="FF1B202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6" min="3" style="0" width="11"/>
    <col collapsed="false" customWidth="true" hidden="false" outlineLevel="0" max="8" min="7" style="0" width="13"/>
    <col collapsed="false" customWidth="true" hidden="false" outlineLevel="0" max="12" min="9" style="0" width="11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9.5" hidden="false" customHeight="true" outlineLevel="0" collapsed="false">
      <c r="A4" s="3" t="s">
        <v>2</v>
      </c>
      <c r="B4" s="3"/>
      <c r="C4" s="3"/>
      <c r="D4" s="3"/>
      <c r="E4" s="3"/>
      <c r="F4" s="3"/>
      <c r="G4" s="4" t="s">
        <v>3</v>
      </c>
      <c r="H4" s="4"/>
      <c r="I4" s="4"/>
      <c r="J4" s="4"/>
      <c r="K4" s="4"/>
      <c r="L4" s="4"/>
    </row>
    <row r="5" customFormat="false" ht="15" hidden="false" customHeight="true" outlineLevel="0" collapsed="false">
      <c r="A5" s="5" t="s">
        <v>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6" customFormat="false" ht="13.5" hidden="false" customHeight="true" outlineLevel="0" collapsed="false">
      <c r="A6" s="6" t="s">
        <v>5</v>
      </c>
      <c r="B6" s="6"/>
      <c r="C6" s="7" t="s">
        <v>6</v>
      </c>
      <c r="D6" s="7"/>
      <c r="E6" s="7"/>
      <c r="F6" s="7"/>
      <c r="G6" s="6" t="s">
        <v>7</v>
      </c>
      <c r="H6" s="6"/>
      <c r="I6" s="7" t="s">
        <v>6</v>
      </c>
      <c r="J6" s="7"/>
      <c r="K6" s="7"/>
      <c r="L6" s="7"/>
    </row>
    <row r="7" customFormat="false" ht="13.5" hidden="false" customHeight="true" outlineLevel="0" collapsed="false">
      <c r="A7" s="6" t="s">
        <v>8</v>
      </c>
      <c r="B7" s="6"/>
      <c r="C7" s="7" t="s">
        <v>9</v>
      </c>
      <c r="D7" s="7"/>
      <c r="E7" s="7"/>
      <c r="F7" s="7"/>
      <c r="G7" s="6" t="s">
        <v>10</v>
      </c>
      <c r="H7" s="6"/>
      <c r="I7" s="7" t="s">
        <v>11</v>
      </c>
      <c r="J7" s="7"/>
      <c r="K7" s="7"/>
      <c r="L7" s="7"/>
    </row>
    <row r="8" customFormat="false" ht="13.5" hidden="false" customHeight="true" outlineLevel="0" collapsed="false">
      <c r="A8" s="6" t="s">
        <v>12</v>
      </c>
      <c r="B8" s="6"/>
      <c r="C8" s="7" t="s">
        <v>13</v>
      </c>
      <c r="D8" s="7"/>
      <c r="E8" s="7"/>
      <c r="F8" s="7"/>
      <c r="G8" s="6" t="s">
        <v>14</v>
      </c>
      <c r="H8" s="6"/>
      <c r="I8" s="7" t="s">
        <v>15</v>
      </c>
      <c r="J8" s="7"/>
      <c r="K8" s="7"/>
      <c r="L8" s="7"/>
    </row>
    <row r="9" customFormat="false" ht="13.5" hidden="false" customHeight="true" outlineLevel="0" collapsed="false">
      <c r="A9" s="6" t="s">
        <v>16</v>
      </c>
      <c r="B9" s="6"/>
      <c r="C9" s="7" t="s">
        <v>17</v>
      </c>
      <c r="D9" s="7"/>
      <c r="E9" s="7"/>
      <c r="F9" s="7"/>
      <c r="G9" s="6" t="s">
        <v>18</v>
      </c>
      <c r="H9" s="6"/>
      <c r="I9" s="7" t="s">
        <v>19</v>
      </c>
      <c r="J9" s="7"/>
      <c r="K9" s="7"/>
      <c r="L9" s="7"/>
    </row>
    <row r="10" customFormat="false" ht="13.5" hidden="false" customHeight="true" outlineLevel="0" collapsed="false">
      <c r="A10" s="6" t="s">
        <v>20</v>
      </c>
      <c r="B10" s="6"/>
      <c r="C10" s="7" t="s">
        <v>21</v>
      </c>
      <c r="D10" s="7"/>
      <c r="E10" s="7"/>
      <c r="F10" s="7"/>
      <c r="G10" s="6" t="s">
        <v>22</v>
      </c>
      <c r="H10" s="6"/>
      <c r="I10" s="7" t="s">
        <v>23</v>
      </c>
      <c r="J10" s="7"/>
      <c r="K10" s="7"/>
      <c r="L10" s="7"/>
    </row>
    <row r="11" customFormat="false" ht="13.5" hidden="false" customHeight="true" outlineLevel="0" collapsed="false">
      <c r="A11" s="6" t="s">
        <v>24</v>
      </c>
      <c r="B11" s="6"/>
      <c r="C11" s="7" t="s">
        <v>23</v>
      </c>
      <c r="D11" s="7"/>
      <c r="E11" s="7"/>
      <c r="F11" s="7"/>
      <c r="G11" s="6" t="s">
        <v>25</v>
      </c>
      <c r="H11" s="6"/>
      <c r="I11" s="7" t="s">
        <v>23</v>
      </c>
      <c r="J11" s="7"/>
      <c r="K11" s="7"/>
      <c r="L11" s="7"/>
    </row>
    <row r="13" customFormat="false" ht="15" hidden="false" customHeight="true" outlineLevel="0" collapsed="false">
      <c r="A13" s="5" t="s">
        <v>26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</row>
    <row r="14" customFormat="false" ht="13.5" hidden="false" customHeight="true" outlineLevel="0" collapsed="false">
      <c r="A14" s="6" t="s">
        <v>27</v>
      </c>
      <c r="B14" s="6"/>
      <c r="C14" s="7" t="s">
        <v>28</v>
      </c>
      <c r="D14" s="7"/>
      <c r="E14" s="7"/>
      <c r="F14" s="7"/>
      <c r="G14" s="6" t="s">
        <v>29</v>
      </c>
      <c r="H14" s="6"/>
      <c r="I14" s="7" t="s">
        <v>30</v>
      </c>
      <c r="J14" s="7"/>
      <c r="K14" s="7"/>
      <c r="L14" s="7"/>
    </row>
    <row r="15" customFormat="false" ht="13.5" hidden="false" customHeight="true" outlineLevel="0" collapsed="false">
      <c r="A15" s="6" t="s">
        <v>31</v>
      </c>
      <c r="B15" s="6"/>
      <c r="C15" s="7" t="s">
        <v>32</v>
      </c>
      <c r="D15" s="7"/>
      <c r="E15" s="7"/>
      <c r="F15" s="7"/>
    </row>
    <row r="17" customFormat="false" ht="15" hidden="false" customHeight="true" outlineLevel="0" collapsed="false">
      <c r="A17" s="5" t="s">
        <v>33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</row>
    <row r="18" customFormat="false" ht="13.5" hidden="false" customHeight="true" outlineLevel="0" collapsed="false">
      <c r="A18" s="8" t="s">
        <v>34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  <c r="G18" s="8" t="s">
        <v>40</v>
      </c>
      <c r="H18" s="8" t="s">
        <v>41</v>
      </c>
      <c r="I18" s="8" t="s">
        <v>42</v>
      </c>
      <c r="J18" s="8" t="s">
        <v>43</v>
      </c>
      <c r="K18" s="9" t="s">
        <v>44</v>
      </c>
    </row>
    <row r="19" customFormat="false" ht="15.75" hidden="false" customHeight="true" outlineLevel="0" collapsed="false">
      <c r="A19" s="10" t="n">
        <v>326</v>
      </c>
      <c r="B19" s="10" t="n">
        <v>352</v>
      </c>
      <c r="C19" s="10" t="n">
        <v>317</v>
      </c>
      <c r="D19" s="10" t="n">
        <v>344</v>
      </c>
      <c r="E19" s="10" t="n">
        <v>299</v>
      </c>
      <c r="F19" s="10" t="n">
        <v>356</v>
      </c>
      <c r="G19" s="10" t="n">
        <v>347</v>
      </c>
      <c r="H19" s="10" t="n">
        <v>393</v>
      </c>
      <c r="I19" s="10" t="n">
        <v>412</v>
      </c>
      <c r="J19" s="10" t="n">
        <v>356</v>
      </c>
      <c r="K19" s="11" t="n">
        <f aca="false">ROUND(AVERAGE(A19:J19),1)</f>
        <v>350.2</v>
      </c>
    </row>
    <row r="20" customFormat="false" ht="13.5" hidden="false" customHeight="true" outlineLevel="0" collapsed="false">
      <c r="A20" s="12" t="str">
        <f aca="false">IF(ABS(K19-350.2)&lt;0.05,"Média confere com a declarada no Kartado (350.2)","ATENÇÃO: Kartado declarou 350.2 e as leituras dão "&amp;K19)</f>
        <v>Média confere com a declarada no Kartado (350.2)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</row>
    <row r="22" customFormat="false" ht="15" hidden="false" customHeight="true" outlineLevel="0" collapsed="false">
      <c r="A22" s="5" t="s">
        <v>45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</row>
    <row r="23" customFormat="false" ht="27.75" hidden="false" customHeight="true" outlineLevel="0" collapsed="false">
      <c r="A23" s="13" t="s">
        <v>46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</row>
    <row r="24" customFormat="false" ht="15" hidden="false" customHeight="false" outlineLevel="0" collapsed="false">
      <c r="A24" s="14" t="s">
        <v>47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</row>
  </sheetData>
  <mergeCells count="41">
    <mergeCell ref="A1:L1"/>
    <mergeCell ref="A2:L2"/>
    <mergeCell ref="A4:F4"/>
    <mergeCell ref="G4:L4"/>
    <mergeCell ref="A5:L5"/>
    <mergeCell ref="A6:B6"/>
    <mergeCell ref="C6:F6"/>
    <mergeCell ref="G6:H6"/>
    <mergeCell ref="I6:L6"/>
    <mergeCell ref="A7:B7"/>
    <mergeCell ref="C7:F7"/>
    <mergeCell ref="G7:H7"/>
    <mergeCell ref="I7:L7"/>
    <mergeCell ref="A8:B8"/>
    <mergeCell ref="C8:F8"/>
    <mergeCell ref="G8:H8"/>
    <mergeCell ref="I8:L8"/>
    <mergeCell ref="A9:B9"/>
    <mergeCell ref="C9:F9"/>
    <mergeCell ref="G9:H9"/>
    <mergeCell ref="I9:L9"/>
    <mergeCell ref="A10:B10"/>
    <mergeCell ref="C10:F10"/>
    <mergeCell ref="G10:H10"/>
    <mergeCell ref="I10:L10"/>
    <mergeCell ref="A11:B11"/>
    <mergeCell ref="C11:F11"/>
    <mergeCell ref="G11:H11"/>
    <mergeCell ref="I11:L11"/>
    <mergeCell ref="A13:L13"/>
    <mergeCell ref="A14:B14"/>
    <mergeCell ref="C14:F14"/>
    <mergeCell ref="G14:H14"/>
    <mergeCell ref="I14:L14"/>
    <mergeCell ref="A15:B15"/>
    <mergeCell ref="C15:F15"/>
    <mergeCell ref="A17:L17"/>
    <mergeCell ref="A20:L20"/>
    <mergeCell ref="A22:L22"/>
    <mergeCell ref="A23:L23"/>
    <mergeCell ref="A24:L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8"/>
    <col collapsed="false" customWidth="true" hidden="false" outlineLevel="0" max="7" min="6" style="0" width="14"/>
    <col collapsed="false" customWidth="true" hidden="false" outlineLevel="0" max="10" min="8" style="0" width="16"/>
    <col collapsed="false" customWidth="true" hidden="false" outlineLevel="0" max="11" min="11" style="0" width="20"/>
    <col collapsed="false" customWidth="true" hidden="false" outlineLevel="0" max="12" min="12" style="0" width="16"/>
    <col collapsed="false" customWidth="true" hidden="false" outlineLevel="0" max="20" min="13" style="0" width="18"/>
  </cols>
  <sheetData>
    <row r="1" customFormat="false" ht="25.5" hidden="false" customHeight="true" outlineLevel="0" collapsed="false">
      <c r="A1" s="15" t="s">
        <v>48</v>
      </c>
      <c r="B1" s="15" t="s">
        <v>49</v>
      </c>
      <c r="C1" s="15" t="s">
        <v>50</v>
      </c>
      <c r="D1" s="15" t="s">
        <v>51</v>
      </c>
      <c r="E1" s="15" t="s">
        <v>52</v>
      </c>
      <c r="F1" s="15" t="s">
        <v>53</v>
      </c>
      <c r="G1" s="15" t="s">
        <v>54</v>
      </c>
      <c r="H1" s="15" t="s">
        <v>55</v>
      </c>
      <c r="I1" s="15" t="s">
        <v>56</v>
      </c>
      <c r="J1" s="15" t="s">
        <v>57</v>
      </c>
      <c r="K1" s="15" t="s">
        <v>58</v>
      </c>
      <c r="L1" s="15" t="s">
        <v>59</v>
      </c>
      <c r="M1" s="15" t="s">
        <v>60</v>
      </c>
      <c r="N1" s="15" t="s">
        <v>61</v>
      </c>
      <c r="O1" s="15" t="s">
        <v>62</v>
      </c>
      <c r="P1" s="15" t="s">
        <v>63</v>
      </c>
      <c r="Q1" s="15" t="s">
        <v>64</v>
      </c>
      <c r="R1" s="15" t="s">
        <v>65</v>
      </c>
      <c r="S1" s="15" t="s">
        <v>66</v>
      </c>
      <c r="T1" s="15" t="s">
        <v>67</v>
      </c>
    </row>
    <row r="2" customFormat="false" ht="15" hidden="false" customHeight="true" outlineLevel="0" collapsed="false">
      <c r="A2" s="7" t="s">
        <v>2</v>
      </c>
      <c r="B2" s="7" t="s">
        <v>68</v>
      </c>
      <c r="C2" s="7" t="s">
        <v>69</v>
      </c>
      <c r="D2" s="7" t="s">
        <v>70</v>
      </c>
      <c r="E2" s="7" t="s">
        <v>71</v>
      </c>
      <c r="F2" s="7" t="s">
        <v>6</v>
      </c>
      <c r="G2" s="7" t="s">
        <v>6</v>
      </c>
      <c r="H2" s="7" t="s">
        <v>9</v>
      </c>
      <c r="I2" s="7" t="s">
        <v>13</v>
      </c>
      <c r="J2" s="7" t="s">
        <v>15</v>
      </c>
      <c r="K2" s="7"/>
      <c r="L2" s="7" t="s">
        <v>72</v>
      </c>
      <c r="M2" s="7" t="s">
        <v>11</v>
      </c>
      <c r="N2" s="7" t="s">
        <v>28</v>
      </c>
      <c r="O2" s="7" t="s">
        <v>30</v>
      </c>
      <c r="P2" s="7" t="s">
        <v>32</v>
      </c>
      <c r="Q2" s="16" t="n">
        <v>350.2</v>
      </c>
      <c r="R2" s="7" t="s">
        <v>46</v>
      </c>
      <c r="S2" s="17" t="n">
        <v>10</v>
      </c>
      <c r="T2" s="17" t="n">
        <v>0</v>
      </c>
    </row>
  </sheetData>
  <autoFilter ref="A1:T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2026-08-26T13:33:39Z</dcterms:created>
  <dc:creator>openpyxl</dc:creator>
  <dc:description/>
  <dc:language>en-US</dc:language>
  <cp:lastModifiedBy/>
  <dcterms:modified xsi:type="dcterms:W3CDTF">2026-08-26T13:33:39Z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