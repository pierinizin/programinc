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letim" sheetId="1" state="visible" r:id="rId3"/>
    <sheet name="Dados" sheetId="2" state="visible" r:id="rId4"/>
  </sheets>
  <definedNames>
    <definedName function="false" hidden="true" localSheetId="1" name="_xlnm._FilterDatabase" vbProcedure="false">Dados!$A$1:$W$9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<sst xmlns="http://schemas.openxmlformats.org/spreadsheetml/2006/main" count="205" uniqueCount="76">
  <si>
    <t xml:space="preserve">BOLETIM DE APONTAMENTOS</t>
  </si>
  <si>
    <t xml:space="preserve">1 apontamento(s) · 268,32 m² · 513,6 m · período 10/07/2026 a 10/07/2026 · origem: e89ee564-Apontamentos_4.xlsx · emitido em 26/08/2026 13:50</t>
  </si>
  <si>
    <t xml:space="preserve">INCM-SIH-2026.00026</t>
  </si>
  <si>
    <t xml:space="preserve">Sinalização Horizontal · Definitiva   |   10/07/2026   |   Executado</t>
  </si>
  <si>
    <t xml:space="preserve">IDENTIFICAÇÃO</t>
  </si>
  <si>
    <t xml:space="preserve">CLIENTE</t>
  </si>
  <si>
    <t xml:space="preserve">EPR</t>
  </si>
  <si>
    <t xml:space="preserve">CONTRATO</t>
  </si>
  <si>
    <t xml:space="preserve">LOCAL DE OBRA</t>
  </si>
  <si>
    <t xml:space="preserve">Maringá a Paiçandu</t>
  </si>
  <si>
    <t xml:space="preserve">ENCARREGADO</t>
  </si>
  <si>
    <t xml:space="preserve">Fabiano</t>
  </si>
  <si>
    <t xml:space="preserve">EXECUTADO EM</t>
  </si>
  <si>
    <t xml:space="preserve">10/07/2026 09:58</t>
  </si>
  <si>
    <t xml:space="preserve">ENCONTRADO EM</t>
  </si>
  <si>
    <t xml:space="preserve">FECHAMENTO DE PISTA</t>
  </si>
  <si>
    <t xml:space="preserve">09:59</t>
  </si>
  <si>
    <t xml:space="preserve">LIBERAÇÃO DE PISTA</t>
  </si>
  <si>
    <t xml:space="preserve">17:00</t>
  </si>
  <si>
    <t xml:space="preserve">TEMPO DE INTERDIÇÃO</t>
  </si>
  <si>
    <t xml:space="preserve">421 min</t>
  </si>
  <si>
    <t xml:space="preserve">ENGENHEIRO RESPONSÁVEL</t>
  </si>
  <si>
    <t xml:space="preserve">—</t>
  </si>
  <si>
    <t xml:space="preserve">CRIADO POR</t>
  </si>
  <si>
    <t xml:space="preserve">Fabiano Martins · 10/07/2026 17:26</t>
  </si>
  <si>
    <t xml:space="preserve">EQUIPE (KARTADO)</t>
  </si>
  <si>
    <t xml:space="preserve">Fiscal de campo</t>
  </si>
  <si>
    <t xml:space="preserve">SERVIÇOS EXECUTADOS (8)</t>
  </si>
  <si>
    <t xml:space="preserve">#</t>
  </si>
  <si>
    <t xml:space="preserve">KM INI</t>
  </si>
  <si>
    <t xml:space="preserve">KM FIM</t>
  </si>
  <si>
    <t xml:space="preserve">COR</t>
  </si>
  <si>
    <t xml:space="preserve">LOCAL DE APLICAÇÃO</t>
  </si>
  <si>
    <t xml:space="preserve">TIPO DE FAIXA</t>
  </si>
  <si>
    <t xml:space="preserve">FAIXAS</t>
  </si>
  <si>
    <t xml:space="preserve">EXTENSÃO (m)</t>
  </si>
  <si>
    <t xml:space="preserve">LARGURA (m)</t>
  </si>
  <si>
    <t xml:space="preserve">ÁREA (m²)</t>
  </si>
  <si>
    <t xml:space="preserve">OBSERVAÇÕES</t>
  </si>
  <si>
    <t xml:space="preserve">Branco</t>
  </si>
  <si>
    <t xml:space="preserve">Zebrado</t>
  </si>
  <si>
    <t xml:space="preserve">Legendas</t>
  </si>
  <si>
    <t xml:space="preserve">Legenda de a preferência</t>
  </si>
  <si>
    <t xml:space="preserve">4 Seta pé</t>
  </si>
  <si>
    <t xml:space="preserve">4 Seta reta</t>
  </si>
  <si>
    <t xml:space="preserve">TOTAL</t>
  </si>
  <si>
    <t xml:space="preserve">0 foto(s) anexada(s)</t>
  </si>
  <si>
    <t xml:space="preserve">Serial</t>
  </si>
  <si>
    <t xml:space="preserve">Data</t>
  </si>
  <si>
    <t xml:space="preserve">Hora</t>
  </si>
  <si>
    <t xml:space="preserve">Natureza</t>
  </si>
  <si>
    <t xml:space="preserve">Tipo</t>
  </si>
  <si>
    <t xml:space="preserve">Status</t>
  </si>
  <si>
    <t xml:space="preserve">Cliente</t>
  </si>
  <si>
    <t xml:space="preserve">Contrato</t>
  </si>
  <si>
    <t xml:space="preserve">Local de Obra</t>
  </si>
  <si>
    <t xml:space="preserve">Encarregado</t>
  </si>
  <si>
    <t xml:space="preserve">Engenheiro</t>
  </si>
  <si>
    <t xml:space="preserve">Criado por</t>
  </si>
  <si>
    <t xml:space="preserve">Serviço nº</t>
  </si>
  <si>
    <t xml:space="preserve">Km inicial</t>
  </si>
  <si>
    <t xml:space="preserve">Km final</t>
  </si>
  <si>
    <t xml:space="preserve">Cor</t>
  </si>
  <si>
    <t xml:space="preserve">Local de aplicação</t>
  </si>
  <si>
    <t xml:space="preserve">Tipo de faixa</t>
  </si>
  <si>
    <t xml:space="preserve">Faixas</t>
  </si>
  <si>
    <t xml:space="preserve">Extensão (m)</t>
  </si>
  <si>
    <t xml:space="preserve">Largura (m)</t>
  </si>
  <si>
    <t xml:space="preserve">Área (m²)</t>
  </si>
  <si>
    <t xml:space="preserve">Obs. do serviço</t>
  </si>
  <si>
    <t xml:space="preserve">10/07/2026</t>
  </si>
  <si>
    <t xml:space="preserve">09:58</t>
  </si>
  <si>
    <t xml:space="preserve">Sinalização Horizontal</t>
  </si>
  <si>
    <t xml:space="preserve">Definitiva</t>
  </si>
  <si>
    <t xml:space="preserve">Executado</t>
  </si>
  <si>
    <t xml:space="preserve">Fabiano Martins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</si>
</sst>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.0"/>
    <numFmt numFmtId="167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8.5"/>
      <color rgb="FF3F4A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D9DEE4"/>
      <name val="Arial"/>
      <family val="0"/>
      <charset val="1"/>
    </font>
    <font>
      <b val="true"/>
      <sz val="8"/>
      <color rgb="FF1B2027"/>
      <name val="Arial"/>
      <family val="0"/>
      <charset val="1"/>
    </font>
    <font>
      <b val="true"/>
      <sz val="7.5"/>
      <color rgb="FF6B7784"/>
      <name val="Arial"/>
      <family val="0"/>
      <charset val="1"/>
    </font>
    <font>
      <sz val="9.5"/>
      <color rgb="FF1B2027"/>
      <name val="Arial"/>
      <family val="0"/>
      <charset val="1"/>
    </font>
    <font>
      <sz val="9"/>
      <color rgb="FF1B2027"/>
      <name val="Arial"/>
      <family val="0"/>
      <charset val="1"/>
    </font>
    <font>
      <b val="true"/>
      <sz val="9"/>
      <color rgb="FF1B2027"/>
      <name val="Arial"/>
      <family val="0"/>
      <charset val="1"/>
    </font>
    <font>
      <b val="true"/>
      <sz val="8"/>
      <color rgb="FF6B7784"/>
      <name val="Arial"/>
      <family val="0"/>
      <charset val="1"/>
    </font>
    <font>
      <b val="true"/>
      <sz val="9.5"/>
      <color rgb="FF1B2027"/>
      <name val="Arial"/>
      <family val="0"/>
      <charset val="1"/>
    </font>
    <font>
      <i val="true"/>
      <sz val="8"/>
      <color rgb="FF6B7784"/>
      <name val="Arial"/>
      <family val="0"/>
      <charset val="1"/>
    </font>
    <font>
      <b val="true"/>
      <sz val="8.5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027"/>
        <bgColor rgb="FF333300"/>
      </patternFill>
    </fill>
    <fill>
      <patternFill patternType="solid">
        <fgColor rgb="FFFFC72C"/>
        <bgColor rgb="FFFFCC99"/>
      </patternFill>
    </fill>
    <fill>
      <patternFill patternType="solid">
        <fgColor rgb="FFF6F7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7DCE1"/>
      </bottom>
      <diagonal/>
    </border>
    <border diagonalUp="false" diagonalDown="false">
      <left style="thin">
        <color rgb="FFD7DCE1"/>
      </left>
      <right style="thin">
        <color rgb="FFD7DCE1"/>
      </right>
      <top style="thin">
        <color rgb="FFD7DCE1"/>
      </top>
      <bottom style="thin">
        <color rgb="FFD7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11" fillId="0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6" fontId="14" fillId="4" borderId="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14" fillId="4" borderId="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202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784"/>
      <rgbColor rgb="FF9999FF"/>
      <rgbColor rgb="FF993366"/>
      <rgbColor rgb="FFF6F7F8"/>
      <rgbColor rgb="FFCCFFFF"/>
      <rgbColor rgb="FF660066"/>
      <rgbColor rgb="FFFF8080"/>
      <rgbColor rgb="FF0066CC"/>
      <rgbColor rgb="FFD7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E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72C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F4A55"/>
      <rgbColor rgb="FF1B20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9"/>
    <col collapsed="false" customWidth="true" hidden="false" outlineLevel="0" max="4" min="4" style="0" width="11"/>
    <col collapsed="false" customWidth="true" hidden="false" outlineLevel="0" max="5" min="5" style="0" width="19"/>
    <col collapsed="false" customWidth="true" hidden="false" outlineLevel="0" max="6" min="6" style="0" width="15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1" min="11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4" t="s">
        <v>3</v>
      </c>
      <c r="G4" s="4"/>
      <c r="H4" s="4"/>
      <c r="I4" s="4"/>
      <c r="J4" s="4"/>
      <c r="K4" s="4"/>
    </row>
    <row r="5" customFormat="false" ht="15" hidden="false" customHeight="true" outlineLevel="0" collapsed="false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13.5" hidden="false" customHeight="true" outlineLevel="0" collapsed="false">
      <c r="A6" s="6" t="s">
        <v>5</v>
      </c>
      <c r="B6" s="6"/>
      <c r="C6" s="6"/>
      <c r="D6" s="7" t="s">
        <v>6</v>
      </c>
      <c r="E6" s="7"/>
      <c r="F6" s="7"/>
      <c r="G6" s="6" t="s">
        <v>7</v>
      </c>
      <c r="H6" s="6"/>
      <c r="I6" s="6"/>
      <c r="J6" s="7" t="s">
        <v>6</v>
      </c>
      <c r="K6" s="7"/>
    </row>
    <row r="7" customFormat="false" ht="13.5" hidden="false" customHeight="true" outlineLevel="0" collapsed="false">
      <c r="A7" s="6" t="s">
        <v>8</v>
      </c>
      <c r="B7" s="6"/>
      <c r="C7" s="6"/>
      <c r="D7" s="7" t="s">
        <v>9</v>
      </c>
      <c r="E7" s="7"/>
      <c r="F7" s="7"/>
      <c r="G7" s="6" t="s">
        <v>10</v>
      </c>
      <c r="H7" s="6"/>
      <c r="I7" s="6"/>
      <c r="J7" s="7" t="s">
        <v>11</v>
      </c>
      <c r="K7" s="7"/>
    </row>
    <row r="8" customFormat="false" ht="13.5" hidden="false" customHeight="true" outlineLevel="0" collapsed="false">
      <c r="A8" s="6" t="s">
        <v>12</v>
      </c>
      <c r="B8" s="6"/>
      <c r="C8" s="6"/>
      <c r="D8" s="7" t="s">
        <v>13</v>
      </c>
      <c r="E8" s="7"/>
      <c r="F8" s="7"/>
      <c r="G8" s="6" t="s">
        <v>14</v>
      </c>
      <c r="H8" s="6"/>
      <c r="I8" s="6"/>
      <c r="J8" s="7" t="s">
        <v>13</v>
      </c>
      <c r="K8" s="7"/>
    </row>
    <row r="9" customFormat="false" ht="13.5" hidden="false" customHeight="true" outlineLevel="0" collapsed="false">
      <c r="A9" s="6" t="s">
        <v>15</v>
      </c>
      <c r="B9" s="6"/>
      <c r="C9" s="6"/>
      <c r="D9" s="7" t="s">
        <v>16</v>
      </c>
      <c r="E9" s="7"/>
      <c r="F9" s="7"/>
      <c r="G9" s="6" t="s">
        <v>17</v>
      </c>
      <c r="H9" s="6"/>
      <c r="I9" s="6"/>
      <c r="J9" s="7" t="s">
        <v>18</v>
      </c>
      <c r="K9" s="7"/>
    </row>
    <row r="10" customFormat="false" ht="13.5" hidden="false" customHeight="true" outlineLevel="0" collapsed="false">
      <c r="A10" s="6" t="s">
        <v>19</v>
      </c>
      <c r="B10" s="6"/>
      <c r="C10" s="6"/>
      <c r="D10" s="7" t="s">
        <v>20</v>
      </c>
      <c r="E10" s="7"/>
      <c r="F10" s="7"/>
      <c r="G10" s="6" t="s">
        <v>21</v>
      </c>
      <c r="H10" s="6"/>
      <c r="I10" s="6"/>
      <c r="J10" s="7" t="s">
        <v>22</v>
      </c>
      <c r="K10" s="7"/>
    </row>
    <row r="11" customFormat="false" ht="13.5" hidden="false" customHeight="true" outlineLevel="0" collapsed="false">
      <c r="A11" s="6" t="s">
        <v>23</v>
      </c>
      <c r="B11" s="6"/>
      <c r="C11" s="6"/>
      <c r="D11" s="7" t="s">
        <v>24</v>
      </c>
      <c r="E11" s="7"/>
      <c r="F11" s="7"/>
      <c r="G11" s="6" t="s">
        <v>25</v>
      </c>
      <c r="H11" s="6"/>
      <c r="I11" s="6"/>
      <c r="J11" s="7" t="s">
        <v>26</v>
      </c>
      <c r="K11" s="7"/>
    </row>
    <row r="13" customFormat="false" ht="15" hidden="false" customHeight="true" outlineLevel="0" collapsed="false">
      <c r="A13" s="5" t="s">
        <v>27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customFormat="false" ht="21.75" hidden="false" customHeight="true" outlineLevel="0" collapsed="false">
      <c r="A14" s="8" t="s">
        <v>28</v>
      </c>
      <c r="B14" s="8" t="s">
        <v>29</v>
      </c>
      <c r="C14" s="8" t="s">
        <v>30</v>
      </c>
      <c r="D14" s="8" t="s">
        <v>31</v>
      </c>
      <c r="E14" s="8" t="s">
        <v>32</v>
      </c>
      <c r="F14" s="8" t="s">
        <v>33</v>
      </c>
      <c r="G14" s="8" t="s">
        <v>34</v>
      </c>
      <c r="H14" s="8" t="s">
        <v>35</v>
      </c>
      <c r="I14" s="8" t="s">
        <v>36</v>
      </c>
      <c r="J14" s="8" t="s">
        <v>37</v>
      </c>
      <c r="K14" s="8" t="s">
        <v>38</v>
      </c>
    </row>
    <row r="15" customFormat="false" ht="13.5" hidden="false" customHeight="true" outlineLevel="0" collapsed="false">
      <c r="A15" s="9" t="n">
        <v>1</v>
      </c>
      <c r="B15" s="9" t="n">
        <v>146</v>
      </c>
      <c r="C15" s="9" t="n">
        <v>147</v>
      </c>
      <c r="D15" s="10" t="s">
        <v>39</v>
      </c>
      <c r="E15" s="10" t="s">
        <v>22</v>
      </c>
      <c r="F15" s="10" t="s">
        <v>40</v>
      </c>
      <c r="G15" s="9" t="n">
        <v>1</v>
      </c>
      <c r="H15" s="11" t="n">
        <v>71</v>
      </c>
      <c r="I15" s="11" t="n">
        <v>0.4</v>
      </c>
      <c r="J15" s="12" t="n">
        <f aca="false">ROUND(H15*I15*G15,2)</f>
        <v>28.4</v>
      </c>
      <c r="K15" s="13" t="s">
        <v>22</v>
      </c>
    </row>
    <row r="16" customFormat="false" ht="13.5" hidden="false" customHeight="true" outlineLevel="0" collapsed="false">
      <c r="A16" s="9" t="n">
        <v>2</v>
      </c>
      <c r="B16" s="9" t="n">
        <v>146</v>
      </c>
      <c r="C16" s="9" t="n">
        <v>147</v>
      </c>
      <c r="D16" s="10" t="s">
        <v>39</v>
      </c>
      <c r="E16" s="10" t="s">
        <v>22</v>
      </c>
      <c r="F16" s="10" t="s">
        <v>40</v>
      </c>
      <c r="G16" s="9" t="n">
        <v>1</v>
      </c>
      <c r="H16" s="11" t="n">
        <v>45</v>
      </c>
      <c r="I16" s="11" t="n">
        <v>0.4</v>
      </c>
      <c r="J16" s="12" t="n">
        <f aca="false">ROUND(H16*I16*G16,2)</f>
        <v>18</v>
      </c>
      <c r="K16" s="13" t="s">
        <v>22</v>
      </c>
    </row>
    <row r="17" customFormat="false" ht="13.5" hidden="false" customHeight="true" outlineLevel="0" collapsed="false">
      <c r="A17" s="9" t="n">
        <v>3</v>
      </c>
      <c r="B17" s="9" t="n">
        <v>146</v>
      </c>
      <c r="C17" s="9" t="n">
        <v>147</v>
      </c>
      <c r="D17" s="10" t="s">
        <v>39</v>
      </c>
      <c r="E17" s="10" t="s">
        <v>22</v>
      </c>
      <c r="F17" s="10" t="s">
        <v>41</v>
      </c>
      <c r="G17" s="9" t="n">
        <v>1</v>
      </c>
      <c r="H17" s="11" t="n">
        <v>3.6</v>
      </c>
      <c r="I17" s="11" t="n">
        <v>1.2</v>
      </c>
      <c r="J17" s="12" t="n">
        <f aca="false">ROUND(H17*I17*G17,2)</f>
        <v>4.32</v>
      </c>
      <c r="K17" s="13" t="s">
        <v>42</v>
      </c>
    </row>
    <row r="18" customFormat="false" ht="13.5" hidden="false" customHeight="true" outlineLevel="0" collapsed="false">
      <c r="A18" s="9" t="n">
        <v>4</v>
      </c>
      <c r="B18" s="9" t="n">
        <v>146</v>
      </c>
      <c r="C18" s="9" t="n">
        <v>147</v>
      </c>
      <c r="D18" s="10" t="s">
        <v>39</v>
      </c>
      <c r="E18" s="10" t="s">
        <v>22</v>
      </c>
      <c r="F18" s="10" t="s">
        <v>40</v>
      </c>
      <c r="G18" s="9" t="n">
        <v>1</v>
      </c>
      <c r="H18" s="11" t="n">
        <v>96</v>
      </c>
      <c r="I18" s="11" t="n">
        <v>0.4</v>
      </c>
      <c r="J18" s="12" t="n">
        <f aca="false">ROUND(H18*I18*G18,2)</f>
        <v>38.4</v>
      </c>
      <c r="K18" s="13" t="s">
        <v>22</v>
      </c>
    </row>
    <row r="19" customFormat="false" ht="13.5" hidden="false" customHeight="true" outlineLevel="0" collapsed="false">
      <c r="A19" s="9" t="n">
        <v>5</v>
      </c>
      <c r="B19" s="9" t="n">
        <v>146</v>
      </c>
      <c r="C19" s="9" t="n">
        <v>147</v>
      </c>
      <c r="D19" s="10" t="s">
        <v>39</v>
      </c>
      <c r="E19" s="10" t="s">
        <v>22</v>
      </c>
      <c r="F19" s="10" t="s">
        <v>41</v>
      </c>
      <c r="G19" s="9" t="n">
        <v>4</v>
      </c>
      <c r="H19" s="11" t="n">
        <v>7.5</v>
      </c>
      <c r="I19" s="11" t="n">
        <v>1.1</v>
      </c>
      <c r="J19" s="12" t="n">
        <f aca="false">ROUND(H19*I19*G19,2)</f>
        <v>33</v>
      </c>
      <c r="K19" s="13" t="s">
        <v>43</v>
      </c>
    </row>
    <row r="20" customFormat="false" ht="13.5" hidden="false" customHeight="true" outlineLevel="0" collapsed="false">
      <c r="A20" s="9" t="n">
        <v>6</v>
      </c>
      <c r="B20" s="9" t="n">
        <v>146</v>
      </c>
      <c r="C20" s="9" t="n">
        <v>147</v>
      </c>
      <c r="D20" s="10" t="s">
        <v>39</v>
      </c>
      <c r="E20" s="10" t="s">
        <v>22</v>
      </c>
      <c r="F20" s="10" t="s">
        <v>40</v>
      </c>
      <c r="G20" s="9" t="n">
        <v>1</v>
      </c>
      <c r="H20" s="11" t="n">
        <v>176</v>
      </c>
      <c r="I20" s="11" t="n">
        <v>0.4</v>
      </c>
      <c r="J20" s="12" t="n">
        <f aca="false">ROUND(H20*I20*G20,2)</f>
        <v>70.4</v>
      </c>
      <c r="K20" s="13" t="s">
        <v>22</v>
      </c>
    </row>
    <row r="21" customFormat="false" ht="13.5" hidden="false" customHeight="true" outlineLevel="0" collapsed="false">
      <c r="A21" s="9" t="n">
        <v>7</v>
      </c>
      <c r="B21" s="9" t="n">
        <v>146</v>
      </c>
      <c r="C21" s="9" t="n">
        <v>147</v>
      </c>
      <c r="D21" s="10" t="s">
        <v>39</v>
      </c>
      <c r="E21" s="10" t="s">
        <v>22</v>
      </c>
      <c r="F21" s="10" t="s">
        <v>40</v>
      </c>
      <c r="G21" s="9" t="n">
        <v>1</v>
      </c>
      <c r="H21" s="11" t="n">
        <v>107</v>
      </c>
      <c r="I21" s="11" t="n">
        <v>0.4</v>
      </c>
      <c r="J21" s="12" t="n">
        <f aca="false">ROUND(H21*I21*G21,2)</f>
        <v>42.8</v>
      </c>
      <c r="K21" s="13" t="s">
        <v>22</v>
      </c>
    </row>
    <row r="22" customFormat="false" ht="13.5" hidden="false" customHeight="true" outlineLevel="0" collapsed="false">
      <c r="A22" s="9" t="n">
        <v>8</v>
      </c>
      <c r="B22" s="9" t="n">
        <v>146</v>
      </c>
      <c r="C22" s="9" t="n">
        <v>147</v>
      </c>
      <c r="D22" s="10" t="s">
        <v>39</v>
      </c>
      <c r="E22" s="10" t="s">
        <v>22</v>
      </c>
      <c r="F22" s="10" t="s">
        <v>41</v>
      </c>
      <c r="G22" s="9" t="n">
        <v>4</v>
      </c>
      <c r="H22" s="11" t="n">
        <v>7.5</v>
      </c>
      <c r="I22" s="11" t="n">
        <v>1.1</v>
      </c>
      <c r="J22" s="12" t="n">
        <f aca="false">ROUND(H22*I22*G22,2)</f>
        <v>33</v>
      </c>
      <c r="K22" s="13" t="s">
        <v>44</v>
      </c>
    </row>
    <row r="23" customFormat="false" ht="15.75" hidden="false" customHeight="true" outlineLevel="0" collapsed="false">
      <c r="A23" s="14"/>
      <c r="B23" s="14"/>
      <c r="C23" s="14"/>
      <c r="D23" s="14"/>
      <c r="E23" s="14"/>
      <c r="F23" s="14"/>
      <c r="G23" s="15" t="s">
        <v>45</v>
      </c>
      <c r="H23" s="16" t="n">
        <f aca="false">SUM(H15:H22)</f>
        <v>513.6</v>
      </c>
      <c r="I23" s="14"/>
      <c r="J23" s="17" t="n">
        <f aca="false">SUM(J15:J22)</f>
        <v>268.32</v>
      </c>
      <c r="K23" s="14"/>
    </row>
    <row r="25" customFormat="false" ht="15" hidden="false" customHeight="false" outlineLevel="0" collapsed="false">
      <c r="A25" s="18" t="s">
        <v>46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</row>
  </sheetData>
  <mergeCells count="31">
    <mergeCell ref="A1:K1"/>
    <mergeCell ref="A2:K2"/>
    <mergeCell ref="A4:E4"/>
    <mergeCell ref="F4:K4"/>
    <mergeCell ref="A5:K5"/>
    <mergeCell ref="A6:C6"/>
    <mergeCell ref="D6:F6"/>
    <mergeCell ref="G6:I6"/>
    <mergeCell ref="J6:K6"/>
    <mergeCell ref="A7:C7"/>
    <mergeCell ref="D7:F7"/>
    <mergeCell ref="G7:I7"/>
    <mergeCell ref="J7:K7"/>
    <mergeCell ref="A8:C8"/>
    <mergeCell ref="D8:F8"/>
    <mergeCell ref="G8:I8"/>
    <mergeCell ref="J8:K8"/>
    <mergeCell ref="A9:C9"/>
    <mergeCell ref="D9:F9"/>
    <mergeCell ref="G9:I9"/>
    <mergeCell ref="J9:K9"/>
    <mergeCell ref="A10:C10"/>
    <mergeCell ref="D10:F10"/>
    <mergeCell ref="G10:I10"/>
    <mergeCell ref="J10:K10"/>
    <mergeCell ref="A11:C11"/>
    <mergeCell ref="D11:F11"/>
    <mergeCell ref="G11:I11"/>
    <mergeCell ref="J11:K11"/>
    <mergeCell ref="A13:K13"/>
    <mergeCell ref="A25:K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8" min="6" style="0" width="11"/>
    <col collapsed="false" customWidth="true" hidden="false" outlineLevel="0" max="9" min="9" style="0" width="22"/>
    <col collapsed="false" customWidth="true" hidden="false" outlineLevel="0" max="11" min="10" style="0" width="15"/>
    <col collapsed="false" customWidth="true" hidden="false" outlineLevel="0" max="12" min="12" style="0" width="17"/>
    <col collapsed="false" customWidth="true" hidden="false" outlineLevel="0" max="13" min="13" style="0" width="9"/>
    <col collapsed="false" customWidth="true" hidden="false" outlineLevel="0" max="15" min="14" style="0" width="10"/>
    <col collapsed="false" customWidth="true" hidden="false" outlineLevel="0" max="16" min="16" style="0" width="11"/>
    <col collapsed="false" customWidth="true" hidden="false" outlineLevel="0" max="17" min="17" style="0" width="19"/>
    <col collapsed="false" customWidth="true" hidden="false" outlineLevel="0" max="18" min="18" style="0" width="15"/>
    <col collapsed="false" customWidth="true" hidden="false" outlineLevel="0" max="19" min="19" style="0" width="8"/>
    <col collapsed="false" customWidth="true" hidden="false" outlineLevel="0" max="20" min="20" style="0" width="12"/>
    <col collapsed="false" customWidth="true" hidden="false" outlineLevel="0" max="22" min="21" style="0" width="11"/>
    <col collapsed="false" customWidth="true" hidden="false" outlineLevel="0" max="23" min="23" style="0" width="26"/>
  </cols>
  <sheetData>
    <row r="1" customFormat="false" ht="25.5" hidden="false" customHeight="true" outlineLevel="0" collapsed="false">
      <c r="A1" s="19" t="s">
        <v>47</v>
      </c>
      <c r="B1" s="19" t="s">
        <v>48</v>
      </c>
      <c r="C1" s="19" t="s">
        <v>49</v>
      </c>
      <c r="D1" s="19" t="s">
        <v>50</v>
      </c>
      <c r="E1" s="19" t="s">
        <v>51</v>
      </c>
      <c r="F1" s="19" t="s">
        <v>52</v>
      </c>
      <c r="G1" s="19" t="s">
        <v>53</v>
      </c>
      <c r="H1" s="19" t="s">
        <v>54</v>
      </c>
      <c r="I1" s="19" t="s">
        <v>55</v>
      </c>
      <c r="J1" s="19" t="s">
        <v>56</v>
      </c>
      <c r="K1" s="19" t="s">
        <v>57</v>
      </c>
      <c r="L1" s="19" t="s">
        <v>58</v>
      </c>
      <c r="M1" s="19" t="s">
        <v>59</v>
      </c>
      <c r="N1" s="19" t="s">
        <v>60</v>
      </c>
      <c r="O1" s="19" t="s">
        <v>61</v>
      </c>
      <c r="P1" s="19" t="s">
        <v>62</v>
      </c>
      <c r="Q1" s="19" t="s">
        <v>63</v>
      </c>
      <c r="R1" s="19" t="s">
        <v>64</v>
      </c>
      <c r="S1" s="19" t="s">
        <v>65</v>
      </c>
      <c r="T1" s="19" t="s">
        <v>66</v>
      </c>
      <c r="U1" s="19" t="s">
        <v>67</v>
      </c>
      <c r="V1" s="19" t="s">
        <v>68</v>
      </c>
      <c r="W1" s="19" t="s">
        <v>69</v>
      </c>
    </row>
    <row r="2" customFormat="false" ht="15" hidden="false" customHeight="true" outlineLevel="0" collapsed="false">
      <c r="A2" s="7" t="s">
        <v>2</v>
      </c>
      <c r="B2" s="7" t="s">
        <v>70</v>
      </c>
      <c r="C2" s="7" t="s">
        <v>71</v>
      </c>
      <c r="D2" s="7" t="s">
        <v>72</v>
      </c>
      <c r="E2" s="7" t="s">
        <v>73</v>
      </c>
      <c r="F2" s="7" t="s">
        <v>74</v>
      </c>
      <c r="G2" s="7" t="s">
        <v>6</v>
      </c>
      <c r="H2" s="7" t="s">
        <v>6</v>
      </c>
      <c r="I2" s="7" t="s">
        <v>9</v>
      </c>
      <c r="J2" s="7" t="s">
        <v>11</v>
      </c>
      <c r="K2" s="7"/>
      <c r="L2" s="7" t="s">
        <v>75</v>
      </c>
      <c r="M2" s="20" t="n">
        <v>1</v>
      </c>
      <c r="N2" s="21" t="n">
        <v>146</v>
      </c>
      <c r="O2" s="21" t="n">
        <v>147</v>
      </c>
      <c r="P2" s="7" t="s">
        <v>39</v>
      </c>
      <c r="Q2" s="7"/>
      <c r="R2" s="7" t="s">
        <v>40</v>
      </c>
      <c r="S2" s="21" t="n">
        <v>1</v>
      </c>
      <c r="T2" s="21" t="n">
        <v>71</v>
      </c>
      <c r="U2" s="21" t="n">
        <v>0.4</v>
      </c>
      <c r="V2" s="21" t="n">
        <v>28.4</v>
      </c>
      <c r="W2" s="7"/>
    </row>
    <row r="3" customFormat="false" ht="15" hidden="false" customHeight="true" outlineLevel="0" collapsed="false">
      <c r="A3" s="7" t="s">
        <v>2</v>
      </c>
      <c r="B3" s="7" t="s">
        <v>70</v>
      </c>
      <c r="C3" s="7" t="s">
        <v>71</v>
      </c>
      <c r="D3" s="7" t="s">
        <v>72</v>
      </c>
      <c r="E3" s="7" t="s">
        <v>73</v>
      </c>
      <c r="F3" s="7" t="s">
        <v>74</v>
      </c>
      <c r="G3" s="7" t="s">
        <v>6</v>
      </c>
      <c r="H3" s="7" t="s">
        <v>6</v>
      </c>
      <c r="I3" s="7" t="s">
        <v>9</v>
      </c>
      <c r="J3" s="7" t="s">
        <v>11</v>
      </c>
      <c r="K3" s="7"/>
      <c r="L3" s="7" t="s">
        <v>75</v>
      </c>
      <c r="M3" s="20" t="n">
        <v>2</v>
      </c>
      <c r="N3" s="21" t="n">
        <v>146</v>
      </c>
      <c r="O3" s="21" t="n">
        <v>147</v>
      </c>
      <c r="P3" s="7" t="s">
        <v>39</v>
      </c>
      <c r="Q3" s="7"/>
      <c r="R3" s="7" t="s">
        <v>40</v>
      </c>
      <c r="S3" s="21" t="n">
        <v>1</v>
      </c>
      <c r="T3" s="21" t="n">
        <v>45</v>
      </c>
      <c r="U3" s="21" t="n">
        <v>0.4</v>
      </c>
      <c r="V3" s="21" t="n">
        <v>18</v>
      </c>
      <c r="W3" s="7"/>
    </row>
    <row r="4" customFormat="false" ht="15" hidden="false" customHeight="true" outlineLevel="0" collapsed="false">
      <c r="A4" s="7" t="s">
        <v>2</v>
      </c>
      <c r="B4" s="7" t="s">
        <v>70</v>
      </c>
      <c r="C4" s="7" t="s">
        <v>71</v>
      </c>
      <c r="D4" s="7" t="s">
        <v>72</v>
      </c>
      <c r="E4" s="7" t="s">
        <v>73</v>
      </c>
      <c r="F4" s="7" t="s">
        <v>74</v>
      </c>
      <c r="G4" s="7" t="s">
        <v>6</v>
      </c>
      <c r="H4" s="7" t="s">
        <v>6</v>
      </c>
      <c r="I4" s="7" t="s">
        <v>9</v>
      </c>
      <c r="J4" s="7" t="s">
        <v>11</v>
      </c>
      <c r="K4" s="7"/>
      <c r="L4" s="7" t="s">
        <v>75</v>
      </c>
      <c r="M4" s="20" t="n">
        <v>3</v>
      </c>
      <c r="N4" s="21" t="n">
        <v>146</v>
      </c>
      <c r="O4" s="21" t="n">
        <v>147</v>
      </c>
      <c r="P4" s="7" t="s">
        <v>39</v>
      </c>
      <c r="Q4" s="7"/>
      <c r="R4" s="7" t="s">
        <v>41</v>
      </c>
      <c r="S4" s="21" t="n">
        <v>1</v>
      </c>
      <c r="T4" s="21" t="n">
        <v>3.6</v>
      </c>
      <c r="U4" s="21" t="n">
        <v>1.2</v>
      </c>
      <c r="V4" s="21" t="n">
        <v>4.32</v>
      </c>
      <c r="W4" s="7" t="s">
        <v>42</v>
      </c>
    </row>
    <row r="5" customFormat="false" ht="15" hidden="false" customHeight="true" outlineLevel="0" collapsed="false">
      <c r="A5" s="7" t="s">
        <v>2</v>
      </c>
      <c r="B5" s="7" t="s">
        <v>70</v>
      </c>
      <c r="C5" s="7" t="s">
        <v>71</v>
      </c>
      <c r="D5" s="7" t="s">
        <v>72</v>
      </c>
      <c r="E5" s="7" t="s">
        <v>73</v>
      </c>
      <c r="F5" s="7" t="s">
        <v>74</v>
      </c>
      <c r="G5" s="7" t="s">
        <v>6</v>
      </c>
      <c r="H5" s="7" t="s">
        <v>6</v>
      </c>
      <c r="I5" s="7" t="s">
        <v>9</v>
      </c>
      <c r="J5" s="7" t="s">
        <v>11</v>
      </c>
      <c r="K5" s="7"/>
      <c r="L5" s="7" t="s">
        <v>75</v>
      </c>
      <c r="M5" s="20" t="n">
        <v>4</v>
      </c>
      <c r="N5" s="21" t="n">
        <v>146</v>
      </c>
      <c r="O5" s="21" t="n">
        <v>147</v>
      </c>
      <c r="P5" s="7" t="s">
        <v>39</v>
      </c>
      <c r="Q5" s="7"/>
      <c r="R5" s="7" t="s">
        <v>40</v>
      </c>
      <c r="S5" s="21" t="n">
        <v>1</v>
      </c>
      <c r="T5" s="21" t="n">
        <v>96</v>
      </c>
      <c r="U5" s="21" t="n">
        <v>0.4</v>
      </c>
      <c r="V5" s="21" t="n">
        <v>38.4</v>
      </c>
      <c r="W5" s="7"/>
    </row>
    <row r="6" customFormat="false" ht="15" hidden="false" customHeight="true" outlineLevel="0" collapsed="false">
      <c r="A6" s="7" t="s">
        <v>2</v>
      </c>
      <c r="B6" s="7" t="s">
        <v>70</v>
      </c>
      <c r="C6" s="7" t="s">
        <v>71</v>
      </c>
      <c r="D6" s="7" t="s">
        <v>72</v>
      </c>
      <c r="E6" s="7" t="s">
        <v>73</v>
      </c>
      <c r="F6" s="7" t="s">
        <v>74</v>
      </c>
      <c r="G6" s="7" t="s">
        <v>6</v>
      </c>
      <c r="H6" s="7" t="s">
        <v>6</v>
      </c>
      <c r="I6" s="7" t="s">
        <v>9</v>
      </c>
      <c r="J6" s="7" t="s">
        <v>11</v>
      </c>
      <c r="K6" s="7"/>
      <c r="L6" s="7" t="s">
        <v>75</v>
      </c>
      <c r="M6" s="20" t="n">
        <v>5</v>
      </c>
      <c r="N6" s="21" t="n">
        <v>146</v>
      </c>
      <c r="O6" s="21" t="n">
        <v>147</v>
      </c>
      <c r="P6" s="7" t="s">
        <v>39</v>
      </c>
      <c r="Q6" s="7"/>
      <c r="R6" s="7" t="s">
        <v>41</v>
      </c>
      <c r="S6" s="21" t="n">
        <v>4</v>
      </c>
      <c r="T6" s="21" t="n">
        <v>7.5</v>
      </c>
      <c r="U6" s="21" t="n">
        <v>1.1</v>
      </c>
      <c r="V6" s="21" t="n">
        <v>33</v>
      </c>
      <c r="W6" s="7" t="s">
        <v>43</v>
      </c>
    </row>
    <row r="7" customFormat="false" ht="15" hidden="false" customHeight="true" outlineLevel="0" collapsed="false">
      <c r="A7" s="7" t="s">
        <v>2</v>
      </c>
      <c r="B7" s="7" t="s">
        <v>70</v>
      </c>
      <c r="C7" s="7" t="s">
        <v>71</v>
      </c>
      <c r="D7" s="7" t="s">
        <v>72</v>
      </c>
      <c r="E7" s="7" t="s">
        <v>73</v>
      </c>
      <c r="F7" s="7" t="s">
        <v>74</v>
      </c>
      <c r="G7" s="7" t="s">
        <v>6</v>
      </c>
      <c r="H7" s="7" t="s">
        <v>6</v>
      </c>
      <c r="I7" s="7" t="s">
        <v>9</v>
      </c>
      <c r="J7" s="7" t="s">
        <v>11</v>
      </c>
      <c r="K7" s="7"/>
      <c r="L7" s="7" t="s">
        <v>75</v>
      </c>
      <c r="M7" s="20" t="n">
        <v>6</v>
      </c>
      <c r="N7" s="21" t="n">
        <v>146</v>
      </c>
      <c r="O7" s="21" t="n">
        <v>147</v>
      </c>
      <c r="P7" s="7" t="s">
        <v>39</v>
      </c>
      <c r="Q7" s="7"/>
      <c r="R7" s="7" t="s">
        <v>40</v>
      </c>
      <c r="S7" s="21" t="n">
        <v>1</v>
      </c>
      <c r="T7" s="21" t="n">
        <v>176</v>
      </c>
      <c r="U7" s="21" t="n">
        <v>0.4</v>
      </c>
      <c r="V7" s="21" t="n">
        <v>70.4</v>
      </c>
      <c r="W7" s="7"/>
    </row>
    <row r="8" customFormat="false" ht="15" hidden="false" customHeight="true" outlineLevel="0" collapsed="false">
      <c r="A8" s="7" t="s">
        <v>2</v>
      </c>
      <c r="B8" s="7" t="s">
        <v>70</v>
      </c>
      <c r="C8" s="7" t="s">
        <v>71</v>
      </c>
      <c r="D8" s="7" t="s">
        <v>72</v>
      </c>
      <c r="E8" s="7" t="s">
        <v>73</v>
      </c>
      <c r="F8" s="7" t="s">
        <v>74</v>
      </c>
      <c r="G8" s="7" t="s">
        <v>6</v>
      </c>
      <c r="H8" s="7" t="s">
        <v>6</v>
      </c>
      <c r="I8" s="7" t="s">
        <v>9</v>
      </c>
      <c r="J8" s="7" t="s">
        <v>11</v>
      </c>
      <c r="K8" s="7"/>
      <c r="L8" s="7" t="s">
        <v>75</v>
      </c>
      <c r="M8" s="20" t="n">
        <v>7</v>
      </c>
      <c r="N8" s="21" t="n">
        <v>146</v>
      </c>
      <c r="O8" s="21" t="n">
        <v>147</v>
      </c>
      <c r="P8" s="7" t="s">
        <v>39</v>
      </c>
      <c r="Q8" s="7"/>
      <c r="R8" s="7" t="s">
        <v>40</v>
      </c>
      <c r="S8" s="21" t="n">
        <v>1</v>
      </c>
      <c r="T8" s="21" t="n">
        <v>107</v>
      </c>
      <c r="U8" s="21" t="n">
        <v>0.4</v>
      </c>
      <c r="V8" s="21" t="n">
        <v>42.8</v>
      </c>
      <c r="W8" s="7"/>
    </row>
    <row r="9" customFormat="false" ht="15" hidden="false" customHeight="true" outlineLevel="0" collapsed="false">
      <c r="A9" s="7" t="s">
        <v>2</v>
      </c>
      <c r="B9" s="7" t="s">
        <v>70</v>
      </c>
      <c r="C9" s="7" t="s">
        <v>71</v>
      </c>
      <c r="D9" s="7" t="s">
        <v>72</v>
      </c>
      <c r="E9" s="7" t="s">
        <v>73</v>
      </c>
      <c r="F9" s="7" t="s">
        <v>74</v>
      </c>
      <c r="G9" s="7" t="s">
        <v>6</v>
      </c>
      <c r="H9" s="7" t="s">
        <v>6</v>
      </c>
      <c r="I9" s="7" t="s">
        <v>9</v>
      </c>
      <c r="J9" s="7" t="s">
        <v>11</v>
      </c>
      <c r="K9" s="7"/>
      <c r="L9" s="7" t="s">
        <v>75</v>
      </c>
      <c r="M9" s="20" t="n">
        <v>8</v>
      </c>
      <c r="N9" s="21" t="n">
        <v>146</v>
      </c>
      <c r="O9" s="21" t="n">
        <v>147</v>
      </c>
      <c r="P9" s="7" t="s">
        <v>39</v>
      </c>
      <c r="Q9" s="7"/>
      <c r="R9" s="7" t="s">
        <v>41</v>
      </c>
      <c r="S9" s="21" t="n">
        <v>4</v>
      </c>
      <c r="T9" s="21" t="n">
        <v>7.5</v>
      </c>
      <c r="U9" s="21" t="n">
        <v>1.1</v>
      </c>
      <c r="V9" s="21" t="n">
        <v>33</v>
      </c>
      <c r="W9" s="7" t="s">
        <v>44</v>
      </c>
    </row>
  </sheetData>
  <autoFilter ref="A1:W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2026-08-26T13:50:49Z</dcterms:created>
  <dc:creator>openpyxl</dc:creator>
  <dc:description/>
  <dc:language>en-US</dc:language>
  <cp:lastModifiedBy/>
  <dcterms:modified xsi:type="dcterms:W3CDTF">2026-08-26T13:50:49Z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